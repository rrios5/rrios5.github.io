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xr348/Downloads/"/>
    </mc:Choice>
  </mc:AlternateContent>
  <xr:revisionPtr revIDLastSave="0" documentId="13_ncr:1_{6C2816E0-A46F-6242-8BFD-A14A31251A5A}" xr6:coauthVersionLast="47" xr6:coauthVersionMax="47" xr10:uidLastSave="{00000000-0000-0000-0000-000000000000}"/>
  <bookViews>
    <workbookView xWindow="200" yWindow="860" windowWidth="29840" windowHeight="17100" tabRatio="500" xr2:uid="{00000000-000D-0000-FFFF-FFFF00000000}"/>
  </bookViews>
  <sheets>
    <sheet name="patien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</calcChain>
</file>

<file path=xl/sharedStrings.xml><?xml version="1.0" encoding="utf-8"?>
<sst xmlns="http://schemas.openxmlformats.org/spreadsheetml/2006/main" count="363" uniqueCount="172">
  <si>
    <t>MIS 7375 Data Dictionary - Homework 1</t>
  </si>
  <si>
    <t>Table Name</t>
  </si>
  <si>
    <t>patients</t>
  </si>
  <si>
    <t>version</t>
  </si>
  <si>
    <t>Date created</t>
  </si>
  <si>
    <t>Date Modified</t>
  </si>
  <si>
    <t>Description</t>
  </si>
  <si>
    <t>Author</t>
  </si>
  <si>
    <t>Sequence</t>
  </si>
  <si>
    <t>varname</t>
  </si>
  <si>
    <t>type</t>
  </si>
  <si>
    <t>size</t>
  </si>
  <si>
    <t>required</t>
  </si>
  <si>
    <t>permission s=system, u=user</t>
  </si>
  <si>
    <t>description</t>
  </si>
  <si>
    <t>key</t>
  </si>
  <si>
    <t>pattern/regex</t>
  </si>
  <si>
    <t>minsize/value</t>
  </si>
  <si>
    <t>default</t>
  </si>
  <si>
    <t>Method D=derived, U=user</t>
  </si>
  <si>
    <t>form element</t>
  </si>
  <si>
    <t>patient_id</t>
  </si>
  <si>
    <t>Auto Incr</t>
  </si>
  <si>
    <t>y</t>
  </si>
  <si>
    <t>s</t>
  </si>
  <si>
    <t>System-generated patient account number</t>
  </si>
  <si>
    <t>primary</t>
  </si>
  <si>
    <t>D</t>
  </si>
  <si>
    <t>none (hidden)</t>
  </si>
  <si>
    <t>date_created</t>
  </si>
  <si>
    <t>datetime</t>
  </si>
  <si>
    <t>Date/time row was created</t>
  </si>
  <si>
    <t>YYYYMMDDHHMMSS</t>
  </si>
  <si>
    <t>none</t>
  </si>
  <si>
    <t>date_modified</t>
  </si>
  <si>
    <t>Date/time row was last modified</t>
  </si>
  <si>
    <t>date_accessed</t>
  </si>
  <si>
    <t>Date/time row was last queried</t>
  </si>
  <si>
    <t>date_inactive</t>
  </si>
  <si>
    <t>n</t>
  </si>
  <si>
    <t>Date/time row was made inactive/deleted</t>
  </si>
  <si>
    <t>status</t>
  </si>
  <si>
    <t>string</t>
  </si>
  <si>
    <t>Account status: a=active, s=suspended, i=inactive</t>
  </si>
  <si>
    <t>a</t>
  </si>
  <si>
    <t>firstname</t>
  </si>
  <si>
    <t>u</t>
  </si>
  <si>
    <t>First name</t>
  </si>
  <si>
    <t>^[A-Za-z'\- ]+$</t>
  </si>
  <si>
    <t>U</t>
  </si>
  <si>
    <t>&lt;input type="text" maxlength="30"&gt;</t>
  </si>
  <si>
    <t>middleinit</t>
  </si>
  <si>
    <t>Middle initial</t>
  </si>
  <si>
    <t>^[A-Za-z]?$</t>
  </si>
  <si>
    <t>&lt;input type="text" maxlength="1"&gt;</t>
  </si>
  <si>
    <t>lastname</t>
  </si>
  <si>
    <t>Last name</t>
  </si>
  <si>
    <t>dob</t>
  </si>
  <si>
    <t>date</t>
  </si>
  <si>
    <t>Date of birth. Entered as MM/DD/YYYY on the form, stored as YYYYMMDD</t>
  </si>
  <si>
    <t>MM/DD/YYYY on form; YYYYMMDD stored</t>
  </si>
  <si>
    <t>&lt;input type="text" pattern&gt;</t>
  </si>
  <si>
    <t>ssn_plain</t>
  </si>
  <si>
    <t>Social Security number as typed (obscured on form). Do not store the actual SSN; this is a placeholder</t>
  </si>
  <si>
    <t>^\d{3}-?\d{2}-?\d{4}$</t>
  </si>
  <si>
    <t>&lt;input type="password" maxlength="11"&gt;</t>
  </si>
  <si>
    <t>ssn_encrypted</t>
  </si>
  <si>
    <t>Encrypted SSN (requires code conversion)</t>
  </si>
  <si>
    <t>preferred_language</t>
  </si>
  <si>
    <t>Preferred language, chosen from suggestion list or typed</t>
  </si>
  <si>
    <t>English</t>
  </si>
  <si>
    <t>&lt;input list&gt; + &lt;datalist&gt;</t>
  </si>
  <si>
    <t>sex</t>
  </si>
  <si>
    <t>Sex assigned at birth: M=male, F=female, O=other/prefer not to say</t>
  </si>
  <si>
    <t>^[MFO]$</t>
  </si>
  <si>
    <t>radio set 1</t>
  </si>
  <si>
    <t>addr1</t>
  </si>
  <si>
    <t>Address line 1</t>
  </si>
  <si>
    <t>addr2</t>
  </si>
  <si>
    <t>Optional address line 2 (apt, suite, unit)</t>
  </si>
  <si>
    <t>city</t>
  </si>
  <si>
    <t>City</t>
  </si>
  <si>
    <t>^[A-Za-z .'\-]+$</t>
  </si>
  <si>
    <t>state</t>
  </si>
  <si>
    <t>Two-letter state code (50 states + DC + PR)</t>
  </si>
  <si>
    <t>^[A-Z]{2}$</t>
  </si>
  <si>
    <t>TX</t>
  </si>
  <si>
    <t>&lt;select&gt; dropdown</t>
  </si>
  <si>
    <t>zip</t>
  </si>
  <si>
    <t>ZIP or ZIP+4. Text field, not a number field</t>
  </si>
  <si>
    <t>^\d{5}(-?\d{4})?$</t>
  </si>
  <si>
    <t>&lt;input type="text" maxlength="10"&gt;</t>
  </si>
  <si>
    <t>email</t>
  </si>
  <si>
    <t>Email address, name@domain.tld</t>
  </si>
  <si>
    <t>^[^\s@]+@[^\s@]+\.[A-Za-z]{2,}$</t>
  </si>
  <si>
    <t>&lt;input type="email"&gt;</t>
  </si>
  <si>
    <t>phone1</t>
  </si>
  <si>
    <t>Mobile phone. Shown as (XXX) XXX-XXXX, stored as 10 digits</t>
  </si>
  <si>
    <t>NXXNXXXXXX</t>
  </si>
  <si>
    <t>&lt;input type="tel" pattern&gt;</t>
  </si>
  <si>
    <t>contact_pref</t>
  </si>
  <si>
    <t>Preferred contact method: P=phone call, T=text, E=email</t>
  </si>
  <si>
    <t>^[PTE]$</t>
  </si>
  <si>
    <t>P</t>
  </si>
  <si>
    <t>radio set 2</t>
  </si>
  <si>
    <t>has_insurance</t>
  </si>
  <si>
    <t>Has health insurance: Y or N</t>
  </si>
  <si>
    <t>^[YN]$</t>
  </si>
  <si>
    <t>radio set 3</t>
  </si>
  <si>
    <t>insurance_provider</t>
  </si>
  <si>
    <t>Insurance company name. Required when has_insurance = Y</t>
  </si>
  <si>
    <t>member_id</t>
  </si>
  <si>
    <t>Insurance member ID as shown on card</t>
  </si>
  <si>
    <t>^[A-Za-z0-9-]+$</t>
  </si>
  <si>
    <t>&lt;input type="text" maxlength="20"&gt;</t>
  </si>
  <si>
    <t>hx_asthma</t>
  </si>
  <si>
    <t>boolean</t>
  </si>
  <si>
    <t>Diagnosed with asthma: 0 or 1</t>
  </si>
  <si>
    <t>checkbox</t>
  </si>
  <si>
    <t>hx_diabetes</t>
  </si>
  <si>
    <t>Diagnosed with diabetes: 0 or 1</t>
  </si>
  <si>
    <t>hx_hypertension</t>
  </si>
  <si>
    <t>Diagnosed with high blood pressure: 0 or 1</t>
  </si>
  <si>
    <t>hx_heart_disease</t>
  </si>
  <si>
    <t>Diagnosed with heart disease: 0 or 1</t>
  </si>
  <si>
    <t>hx_high_cholesterol</t>
  </si>
  <si>
    <t>Diagnosed with high cholesterol: 0 or 1</t>
  </si>
  <si>
    <t>hx_thyroid</t>
  </si>
  <si>
    <t>Diagnosed with a thyroid disorder: 0 or 1</t>
  </si>
  <si>
    <t>hx_cancer</t>
  </si>
  <si>
    <t>Diagnosed with cancer: 0 or 1</t>
  </si>
  <si>
    <t>hx_none</t>
  </si>
  <si>
    <t>None of the listed conditions: 0 or 1</t>
  </si>
  <si>
    <t>flu_vaccinated</t>
  </si>
  <si>
    <t>Up to date on flu vaccine: Y=yes, N=no, U=not sure</t>
  </si>
  <si>
    <t>^[YNU]$</t>
  </si>
  <si>
    <t>radio set 4</t>
  </si>
  <si>
    <t>tobacco_use</t>
  </si>
  <si>
    <t>Tobacco use: N=never, F=former, C=current</t>
  </si>
  <si>
    <t>^[NFC]$</t>
  </si>
  <si>
    <t>radio set 5</t>
  </si>
  <si>
    <t>symptoms</t>
  </si>
  <si>
    <t>Current symptoms or reason for visit (free text)</t>
  </si>
  <si>
    <t>&lt;textarea rows="4" cols="50"&gt;</t>
  </si>
  <si>
    <t>health_scale</t>
  </si>
  <si>
    <t>INT</t>
  </si>
  <si>
    <t>1 to 10, how the patient feels today (10 = feeling great)</t>
  </si>
  <si>
    <t>1–10</t>
  </si>
  <si>
    <t>&lt;input type="range" min="1" max="10"&gt;</t>
  </si>
  <si>
    <t>userid</t>
  </si>
  <si>
    <t>Patient portal user ID. Separate from email</t>
  </si>
  <si>
    <t>unique</t>
  </si>
  <si>
    <t>^[A-Za-z][A-Za-z0-9_-]{4,19}$</t>
  </si>
  <si>
    <t>password_plain</t>
  </si>
  <si>
    <t>Plaintext password as typed. Do not store the actual password; this is a placeholder</t>
  </si>
  <si>
    <t>(?=.*\d)(?=.*[a-z])(?=.*[A-Z]).{8,}</t>
  </si>
  <si>
    <t>&lt;input type="password"&gt;</t>
  </si>
  <si>
    <t>password_confirm</t>
  </si>
  <si>
    <t>Re-entered password; must equal password_plain. Not stored</t>
  </si>
  <si>
    <t>must match password_plain</t>
  </si>
  <si>
    <t>password_hashed</t>
  </si>
  <si>
    <t>Hashed password (requires code conversion)</t>
  </si>
  <si>
    <t>passwd_date</t>
  </si>
  <si>
    <t>Date password was last changed</t>
  </si>
  <si>
    <t>YYYYMMDD</t>
  </si>
  <si>
    <t>hipaa_ack</t>
  </si>
  <si>
    <t>Acknowledged Notice of Privacy Practices (HIPAA): must be 1 to submit</t>
  </si>
  <si>
    <t>checkbox (required)</t>
  </si>
  <si>
    <t>hipaa_ack_date</t>
  </si>
  <si>
    <t>Date/time the HIPAA acknowledgment was submitted</t>
  </si>
  <si>
    <t>Rogelio Rios</t>
  </si>
  <si>
    <t>Stores the patient registration and demographic data captured by cougaraid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</si>
</sst>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zoomScaleNormal="100" workbookViewId="0">
      <selection activeCell="E16" sqref="E16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3" width="11" customWidth="1"/>
    <col min="4" max="4" width="7" customWidth="1"/>
    <col min="5" max="5" width="10" customWidth="1"/>
    <col min="6" max="6" width="14" customWidth="1"/>
    <col min="7" max="7" width="58" customWidth="1"/>
    <col min="8" max="8" width="10" customWidth="1"/>
    <col min="9" max="9" width="34" customWidth="1"/>
    <col min="10" max="10" width="13" customWidth="1"/>
    <col min="11" max="11" width="10" customWidth="1"/>
    <col min="12" max="12" width="13" customWidth="1"/>
    <col min="13" max="13" width="26" customWidth="1"/>
  </cols>
  <sheetData>
    <row r="1" spans="1:13" x14ac:dyDescent="0.2">
      <c r="A1" t="s">
        <v>0</v>
      </c>
    </row>
    <row r="3" spans="1:13" x14ac:dyDescent="0.2">
      <c r="A3" t="s">
        <v>1</v>
      </c>
      <c r="B3" t="s">
        <v>2</v>
      </c>
    </row>
    <row r="4" spans="1:13" x14ac:dyDescent="0.2">
      <c r="A4" t="s">
        <v>3</v>
      </c>
      <c r="B4" s="1">
        <v>1</v>
      </c>
    </row>
    <row r="5" spans="1:13" x14ac:dyDescent="0.2">
      <c r="A5" t="s">
        <v>4</v>
      </c>
      <c r="B5" s="2">
        <v>46292</v>
      </c>
    </row>
    <row r="6" spans="1:13" x14ac:dyDescent="0.2">
      <c r="A6" t="s">
        <v>5</v>
      </c>
      <c r="B6" s="2">
        <v>46292</v>
      </c>
    </row>
    <row r="7" spans="1:13" x14ac:dyDescent="0.2">
      <c r="A7" t="s">
        <v>6</v>
      </c>
      <c r="B7" t="s">
        <v>171</v>
      </c>
    </row>
    <row r="8" spans="1:13" x14ac:dyDescent="0.2">
      <c r="A8" t="s">
        <v>7</v>
      </c>
      <c r="B8" t="s">
        <v>170</v>
      </c>
    </row>
    <row r="10" spans="1:13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</row>
    <row r="11" spans="1:13" x14ac:dyDescent="0.2">
      <c r="A11">
        <v>1</v>
      </c>
      <c r="B11" t="s">
        <v>21</v>
      </c>
      <c r="C11" t="s">
        <v>22</v>
      </c>
      <c r="D11">
        <v>10</v>
      </c>
      <c r="E11" t="s">
        <v>23</v>
      </c>
      <c r="F11" t="s">
        <v>24</v>
      </c>
      <c r="G11" t="s">
        <v>25</v>
      </c>
      <c r="H11" t="s">
        <v>26</v>
      </c>
      <c r="L11" t="s">
        <v>27</v>
      </c>
      <c r="M11" t="s">
        <v>28</v>
      </c>
    </row>
    <row r="12" spans="1:13" x14ac:dyDescent="0.2">
      <c r="A12">
        <f t="shared" ref="A12:A54" si="0">A11+1</f>
        <v>2</v>
      </c>
      <c r="B12" t="s">
        <v>29</v>
      </c>
      <c r="C12" t="s">
        <v>30</v>
      </c>
      <c r="D12">
        <v>14</v>
      </c>
      <c r="E12" t="s">
        <v>23</v>
      </c>
      <c r="F12" t="s">
        <v>24</v>
      </c>
      <c r="G12" t="s">
        <v>31</v>
      </c>
      <c r="I12" t="s">
        <v>32</v>
      </c>
      <c r="L12" t="s">
        <v>27</v>
      </c>
      <c r="M12" t="s">
        <v>33</v>
      </c>
    </row>
    <row r="13" spans="1:13" x14ac:dyDescent="0.2">
      <c r="A13">
        <f t="shared" si="0"/>
        <v>3</v>
      </c>
      <c r="B13" t="s">
        <v>34</v>
      </c>
      <c r="C13" t="s">
        <v>30</v>
      </c>
      <c r="D13">
        <v>14</v>
      </c>
      <c r="E13" t="s">
        <v>23</v>
      </c>
      <c r="F13" t="s">
        <v>24</v>
      </c>
      <c r="G13" t="s">
        <v>35</v>
      </c>
      <c r="I13" t="s">
        <v>32</v>
      </c>
      <c r="L13" t="s">
        <v>27</v>
      </c>
      <c r="M13" t="s">
        <v>33</v>
      </c>
    </row>
    <row r="14" spans="1:13" x14ac:dyDescent="0.2">
      <c r="A14">
        <f t="shared" si="0"/>
        <v>4</v>
      </c>
      <c r="B14" t="s">
        <v>36</v>
      </c>
      <c r="C14" t="s">
        <v>30</v>
      </c>
      <c r="D14">
        <v>14</v>
      </c>
      <c r="E14" t="s">
        <v>23</v>
      </c>
      <c r="F14" t="s">
        <v>24</v>
      </c>
      <c r="G14" t="s">
        <v>37</v>
      </c>
      <c r="I14" t="s">
        <v>32</v>
      </c>
      <c r="L14" t="s">
        <v>27</v>
      </c>
      <c r="M14" t="s">
        <v>33</v>
      </c>
    </row>
    <row r="15" spans="1:13" x14ac:dyDescent="0.2">
      <c r="A15">
        <f t="shared" si="0"/>
        <v>5</v>
      </c>
      <c r="B15" t="s">
        <v>38</v>
      </c>
      <c r="C15" t="s">
        <v>30</v>
      </c>
      <c r="D15">
        <v>14</v>
      </c>
      <c r="E15" t="s">
        <v>39</v>
      </c>
      <c r="F15" t="s">
        <v>24</v>
      </c>
      <c r="G15" t="s">
        <v>40</v>
      </c>
      <c r="I15" t="s">
        <v>32</v>
      </c>
      <c r="L15" t="s">
        <v>27</v>
      </c>
      <c r="M15" t="s">
        <v>33</v>
      </c>
    </row>
    <row r="16" spans="1:13" x14ac:dyDescent="0.2">
      <c r="A16">
        <f t="shared" si="0"/>
        <v>6</v>
      </c>
      <c r="B16" t="s">
        <v>41</v>
      </c>
      <c r="C16" t="s">
        <v>42</v>
      </c>
      <c r="D16">
        <v>1</v>
      </c>
      <c r="E16" t="s">
        <v>23</v>
      </c>
      <c r="F16" t="s">
        <v>24</v>
      </c>
      <c r="G16" t="s">
        <v>43</v>
      </c>
      <c r="J16">
        <v>1</v>
      </c>
      <c r="K16" t="s">
        <v>44</v>
      </c>
      <c r="L16" t="s">
        <v>27</v>
      </c>
      <c r="M16" t="s">
        <v>33</v>
      </c>
    </row>
    <row r="17" spans="1:13" x14ac:dyDescent="0.2">
      <c r="A17">
        <f t="shared" si="0"/>
        <v>7</v>
      </c>
      <c r="B17" t="s">
        <v>45</v>
      </c>
      <c r="C17" t="s">
        <v>42</v>
      </c>
      <c r="D17">
        <v>30</v>
      </c>
      <c r="E17" t="s">
        <v>23</v>
      </c>
      <c r="F17" t="s">
        <v>46</v>
      </c>
      <c r="G17" t="s">
        <v>47</v>
      </c>
      <c r="I17" t="s">
        <v>48</v>
      </c>
      <c r="J17">
        <v>1</v>
      </c>
      <c r="L17" t="s">
        <v>49</v>
      </c>
      <c r="M17" t="s">
        <v>50</v>
      </c>
    </row>
    <row r="18" spans="1:13" x14ac:dyDescent="0.2">
      <c r="A18">
        <f t="shared" si="0"/>
        <v>8</v>
      </c>
      <c r="B18" t="s">
        <v>51</v>
      </c>
      <c r="C18" t="s">
        <v>42</v>
      </c>
      <c r="D18">
        <v>1</v>
      </c>
      <c r="E18" t="s">
        <v>39</v>
      </c>
      <c r="F18" t="s">
        <v>46</v>
      </c>
      <c r="G18" t="s">
        <v>52</v>
      </c>
      <c r="I18" t="s">
        <v>53</v>
      </c>
      <c r="J18">
        <v>0</v>
      </c>
      <c r="L18" t="s">
        <v>49</v>
      </c>
      <c r="M18" t="s">
        <v>54</v>
      </c>
    </row>
    <row r="19" spans="1:13" x14ac:dyDescent="0.2">
      <c r="A19">
        <f t="shared" si="0"/>
        <v>9</v>
      </c>
      <c r="B19" t="s">
        <v>55</v>
      </c>
      <c r="C19" t="s">
        <v>42</v>
      </c>
      <c r="D19">
        <v>30</v>
      </c>
      <c r="E19" t="s">
        <v>23</v>
      </c>
      <c r="F19" t="s">
        <v>46</v>
      </c>
      <c r="G19" t="s">
        <v>56</v>
      </c>
      <c r="I19" t="s">
        <v>48</v>
      </c>
      <c r="J19">
        <v>1</v>
      </c>
      <c r="L19" t="s">
        <v>49</v>
      </c>
      <c r="M19" t="s">
        <v>50</v>
      </c>
    </row>
    <row r="20" spans="1:13" x14ac:dyDescent="0.2">
      <c r="A20">
        <f t="shared" si="0"/>
        <v>10</v>
      </c>
      <c r="B20" t="s">
        <v>57</v>
      </c>
      <c r="C20" t="s">
        <v>58</v>
      </c>
      <c r="D20">
        <v>8</v>
      </c>
      <c r="E20" t="s">
        <v>23</v>
      </c>
      <c r="F20" t="s">
        <v>46</v>
      </c>
      <c r="G20" t="s">
        <v>59</v>
      </c>
      <c r="I20" t="s">
        <v>60</v>
      </c>
      <c r="J20">
        <v>10</v>
      </c>
      <c r="L20" t="s">
        <v>49</v>
      </c>
      <c r="M20" t="s">
        <v>61</v>
      </c>
    </row>
    <row r="21" spans="1:13" x14ac:dyDescent="0.2">
      <c r="A21">
        <f t="shared" si="0"/>
        <v>11</v>
      </c>
      <c r="B21" t="s">
        <v>62</v>
      </c>
      <c r="C21" t="s">
        <v>42</v>
      </c>
      <c r="D21">
        <v>11</v>
      </c>
      <c r="E21" t="s">
        <v>23</v>
      </c>
      <c r="F21" t="s">
        <v>46</v>
      </c>
      <c r="G21" t="s">
        <v>63</v>
      </c>
      <c r="I21" t="s">
        <v>64</v>
      </c>
      <c r="J21">
        <v>9</v>
      </c>
      <c r="L21" t="s">
        <v>49</v>
      </c>
      <c r="M21" t="s">
        <v>65</v>
      </c>
    </row>
    <row r="22" spans="1:13" x14ac:dyDescent="0.2">
      <c r="A22">
        <f t="shared" si="0"/>
        <v>12</v>
      </c>
      <c r="B22" t="s">
        <v>66</v>
      </c>
      <c r="C22" t="s">
        <v>42</v>
      </c>
      <c r="D22">
        <v>256</v>
      </c>
      <c r="E22" t="s">
        <v>23</v>
      </c>
      <c r="F22" t="s">
        <v>24</v>
      </c>
      <c r="G22" t="s">
        <v>67</v>
      </c>
      <c r="L22" t="s">
        <v>27</v>
      </c>
      <c r="M22" t="s">
        <v>33</v>
      </c>
    </row>
    <row r="23" spans="1:13" x14ac:dyDescent="0.2">
      <c r="A23">
        <f t="shared" si="0"/>
        <v>13</v>
      </c>
      <c r="B23" t="s">
        <v>68</v>
      </c>
      <c r="C23" t="s">
        <v>42</v>
      </c>
      <c r="D23">
        <v>20</v>
      </c>
      <c r="E23" t="s">
        <v>39</v>
      </c>
      <c r="F23" t="s">
        <v>46</v>
      </c>
      <c r="G23" t="s">
        <v>69</v>
      </c>
      <c r="K23" t="s">
        <v>70</v>
      </c>
      <c r="L23" t="s">
        <v>49</v>
      </c>
      <c r="M23" t="s">
        <v>71</v>
      </c>
    </row>
    <row r="24" spans="1:13" x14ac:dyDescent="0.2">
      <c r="A24">
        <f t="shared" si="0"/>
        <v>14</v>
      </c>
      <c r="B24" t="s">
        <v>72</v>
      </c>
      <c r="C24" t="s">
        <v>42</v>
      </c>
      <c r="D24">
        <v>1</v>
      </c>
      <c r="E24" t="s">
        <v>23</v>
      </c>
      <c r="F24" t="s">
        <v>46</v>
      </c>
      <c r="G24" t="s">
        <v>73</v>
      </c>
      <c r="I24" t="s">
        <v>74</v>
      </c>
      <c r="J24">
        <v>1</v>
      </c>
      <c r="L24" t="s">
        <v>49</v>
      </c>
      <c r="M24" t="s">
        <v>75</v>
      </c>
    </row>
    <row r="25" spans="1:13" x14ac:dyDescent="0.2">
      <c r="A25">
        <f t="shared" si="0"/>
        <v>15</v>
      </c>
      <c r="B25" t="s">
        <v>76</v>
      </c>
      <c r="C25" t="s">
        <v>42</v>
      </c>
      <c r="D25">
        <v>30</v>
      </c>
      <c r="E25" t="s">
        <v>23</v>
      </c>
      <c r="F25" t="s">
        <v>46</v>
      </c>
      <c r="G25" t="s">
        <v>77</v>
      </c>
      <c r="J25">
        <v>5</v>
      </c>
      <c r="L25" t="s">
        <v>49</v>
      </c>
      <c r="M25" t="s">
        <v>50</v>
      </c>
    </row>
    <row r="26" spans="1:13" x14ac:dyDescent="0.2">
      <c r="A26">
        <f t="shared" si="0"/>
        <v>16</v>
      </c>
      <c r="B26" t="s">
        <v>78</v>
      </c>
      <c r="C26" t="s">
        <v>42</v>
      </c>
      <c r="D26">
        <v>30</v>
      </c>
      <c r="E26" t="s">
        <v>39</v>
      </c>
      <c r="F26" t="s">
        <v>46</v>
      </c>
      <c r="G26" t="s">
        <v>79</v>
      </c>
      <c r="L26" t="s">
        <v>49</v>
      </c>
      <c r="M26" t="s">
        <v>50</v>
      </c>
    </row>
    <row r="27" spans="1:13" x14ac:dyDescent="0.2">
      <c r="A27">
        <f t="shared" si="0"/>
        <v>17</v>
      </c>
      <c r="B27" t="s">
        <v>80</v>
      </c>
      <c r="C27" t="s">
        <v>42</v>
      </c>
      <c r="D27">
        <v>30</v>
      </c>
      <c r="E27" t="s">
        <v>23</v>
      </c>
      <c r="F27" t="s">
        <v>46</v>
      </c>
      <c r="G27" t="s">
        <v>81</v>
      </c>
      <c r="I27" t="s">
        <v>82</v>
      </c>
      <c r="J27">
        <v>2</v>
      </c>
      <c r="L27" t="s">
        <v>49</v>
      </c>
      <c r="M27" t="s">
        <v>50</v>
      </c>
    </row>
    <row r="28" spans="1:13" x14ac:dyDescent="0.2">
      <c r="A28">
        <f t="shared" si="0"/>
        <v>18</v>
      </c>
      <c r="B28" t="s">
        <v>83</v>
      </c>
      <c r="C28" t="s">
        <v>42</v>
      </c>
      <c r="D28">
        <v>2</v>
      </c>
      <c r="E28" t="s">
        <v>23</v>
      </c>
      <c r="F28" t="s">
        <v>46</v>
      </c>
      <c r="G28" t="s">
        <v>84</v>
      </c>
      <c r="I28" t="s">
        <v>85</v>
      </c>
      <c r="J28">
        <v>2</v>
      </c>
      <c r="K28" t="s">
        <v>86</v>
      </c>
      <c r="L28" t="s">
        <v>49</v>
      </c>
      <c r="M28" t="s">
        <v>87</v>
      </c>
    </row>
    <row r="29" spans="1:13" x14ac:dyDescent="0.2">
      <c r="A29">
        <f t="shared" si="0"/>
        <v>19</v>
      </c>
      <c r="B29" t="s">
        <v>88</v>
      </c>
      <c r="C29" t="s">
        <v>42</v>
      </c>
      <c r="D29">
        <v>10</v>
      </c>
      <c r="E29" t="s">
        <v>23</v>
      </c>
      <c r="F29" t="s">
        <v>46</v>
      </c>
      <c r="G29" t="s">
        <v>89</v>
      </c>
      <c r="I29" t="s">
        <v>90</v>
      </c>
      <c r="J29">
        <v>5</v>
      </c>
      <c r="L29" t="s">
        <v>49</v>
      </c>
      <c r="M29" t="s">
        <v>91</v>
      </c>
    </row>
    <row r="30" spans="1:13" x14ac:dyDescent="0.2">
      <c r="A30">
        <f t="shared" si="0"/>
        <v>20</v>
      </c>
      <c r="B30" t="s">
        <v>92</v>
      </c>
      <c r="C30" t="s">
        <v>42</v>
      </c>
      <c r="D30">
        <v>60</v>
      </c>
      <c r="E30" t="s">
        <v>23</v>
      </c>
      <c r="F30" t="s">
        <v>46</v>
      </c>
      <c r="G30" t="s">
        <v>93</v>
      </c>
      <c r="I30" t="s">
        <v>94</v>
      </c>
      <c r="J30">
        <v>5</v>
      </c>
      <c r="L30" t="s">
        <v>49</v>
      </c>
      <c r="M30" t="s">
        <v>95</v>
      </c>
    </row>
    <row r="31" spans="1:13" x14ac:dyDescent="0.2">
      <c r="A31">
        <f t="shared" si="0"/>
        <v>21</v>
      </c>
      <c r="B31" t="s">
        <v>96</v>
      </c>
      <c r="C31" t="s">
        <v>42</v>
      </c>
      <c r="D31">
        <v>10</v>
      </c>
      <c r="E31" t="s">
        <v>39</v>
      </c>
      <c r="F31" t="s">
        <v>46</v>
      </c>
      <c r="G31" t="s">
        <v>97</v>
      </c>
      <c r="I31" t="s">
        <v>98</v>
      </c>
      <c r="J31">
        <v>10</v>
      </c>
      <c r="L31" t="s">
        <v>49</v>
      </c>
      <c r="M31" t="s">
        <v>99</v>
      </c>
    </row>
    <row r="32" spans="1:13" x14ac:dyDescent="0.2">
      <c r="A32">
        <f t="shared" si="0"/>
        <v>22</v>
      </c>
      <c r="B32" t="s">
        <v>100</v>
      </c>
      <c r="C32" t="s">
        <v>42</v>
      </c>
      <c r="D32">
        <v>1</v>
      </c>
      <c r="E32" t="s">
        <v>39</v>
      </c>
      <c r="F32" t="s">
        <v>46</v>
      </c>
      <c r="G32" t="s">
        <v>101</v>
      </c>
      <c r="I32" t="s">
        <v>102</v>
      </c>
      <c r="J32">
        <v>1</v>
      </c>
      <c r="K32" t="s">
        <v>103</v>
      </c>
      <c r="L32" t="s">
        <v>49</v>
      </c>
      <c r="M32" t="s">
        <v>104</v>
      </c>
    </row>
    <row r="33" spans="1:13" x14ac:dyDescent="0.2">
      <c r="A33">
        <f t="shared" si="0"/>
        <v>23</v>
      </c>
      <c r="B33" t="s">
        <v>105</v>
      </c>
      <c r="C33" t="s">
        <v>42</v>
      </c>
      <c r="D33">
        <v>1</v>
      </c>
      <c r="E33" t="s">
        <v>23</v>
      </c>
      <c r="F33" t="s">
        <v>46</v>
      </c>
      <c r="G33" t="s">
        <v>106</v>
      </c>
      <c r="I33" t="s">
        <v>107</v>
      </c>
      <c r="J33">
        <v>1</v>
      </c>
      <c r="L33" t="s">
        <v>49</v>
      </c>
      <c r="M33" t="s">
        <v>108</v>
      </c>
    </row>
    <row r="34" spans="1:13" x14ac:dyDescent="0.2">
      <c r="A34">
        <f t="shared" si="0"/>
        <v>24</v>
      </c>
      <c r="B34" t="s">
        <v>109</v>
      </c>
      <c r="C34" t="s">
        <v>42</v>
      </c>
      <c r="D34">
        <v>40</v>
      </c>
      <c r="E34" t="s">
        <v>39</v>
      </c>
      <c r="F34" t="s">
        <v>46</v>
      </c>
      <c r="G34" t="s">
        <v>110</v>
      </c>
      <c r="L34" t="s">
        <v>49</v>
      </c>
      <c r="M34" t="s">
        <v>87</v>
      </c>
    </row>
    <row r="35" spans="1:13" x14ac:dyDescent="0.2">
      <c r="A35">
        <f t="shared" si="0"/>
        <v>25</v>
      </c>
      <c r="B35" t="s">
        <v>111</v>
      </c>
      <c r="C35" t="s">
        <v>42</v>
      </c>
      <c r="D35">
        <v>20</v>
      </c>
      <c r="E35" t="s">
        <v>39</v>
      </c>
      <c r="F35" t="s">
        <v>46</v>
      </c>
      <c r="G35" t="s">
        <v>112</v>
      </c>
      <c r="I35" t="s">
        <v>113</v>
      </c>
      <c r="L35" t="s">
        <v>49</v>
      </c>
      <c r="M35" t="s">
        <v>114</v>
      </c>
    </row>
    <row r="36" spans="1:13" x14ac:dyDescent="0.2">
      <c r="A36">
        <f t="shared" si="0"/>
        <v>26</v>
      </c>
      <c r="B36" t="s">
        <v>115</v>
      </c>
      <c r="C36" t="s">
        <v>116</v>
      </c>
      <c r="D36">
        <v>1</v>
      </c>
      <c r="E36" t="s">
        <v>39</v>
      </c>
      <c r="F36" t="s">
        <v>46</v>
      </c>
      <c r="G36" t="s">
        <v>117</v>
      </c>
      <c r="K36">
        <v>0</v>
      </c>
      <c r="L36" t="s">
        <v>49</v>
      </c>
      <c r="M36" t="s">
        <v>118</v>
      </c>
    </row>
    <row r="37" spans="1:13" x14ac:dyDescent="0.2">
      <c r="A37">
        <f t="shared" si="0"/>
        <v>27</v>
      </c>
      <c r="B37" t="s">
        <v>119</v>
      </c>
      <c r="C37" t="s">
        <v>116</v>
      </c>
      <c r="D37">
        <v>1</v>
      </c>
      <c r="E37" t="s">
        <v>39</v>
      </c>
      <c r="F37" t="s">
        <v>46</v>
      </c>
      <c r="G37" t="s">
        <v>120</v>
      </c>
      <c r="K37">
        <v>0</v>
      </c>
      <c r="L37" t="s">
        <v>49</v>
      </c>
      <c r="M37" t="s">
        <v>118</v>
      </c>
    </row>
    <row r="38" spans="1:13" x14ac:dyDescent="0.2">
      <c r="A38">
        <f t="shared" si="0"/>
        <v>28</v>
      </c>
      <c r="B38" t="s">
        <v>121</v>
      </c>
      <c r="C38" t="s">
        <v>116</v>
      </c>
      <c r="D38">
        <v>1</v>
      </c>
      <c r="E38" t="s">
        <v>39</v>
      </c>
      <c r="F38" t="s">
        <v>46</v>
      </c>
      <c r="G38" t="s">
        <v>122</v>
      </c>
      <c r="K38">
        <v>0</v>
      </c>
      <c r="L38" t="s">
        <v>49</v>
      </c>
      <c r="M38" t="s">
        <v>118</v>
      </c>
    </row>
    <row r="39" spans="1:13" x14ac:dyDescent="0.2">
      <c r="A39">
        <f t="shared" si="0"/>
        <v>29</v>
      </c>
      <c r="B39" t="s">
        <v>123</v>
      </c>
      <c r="C39" t="s">
        <v>116</v>
      </c>
      <c r="D39">
        <v>1</v>
      </c>
      <c r="E39" t="s">
        <v>39</v>
      </c>
      <c r="F39" t="s">
        <v>46</v>
      </c>
      <c r="G39" t="s">
        <v>124</v>
      </c>
      <c r="K39">
        <v>0</v>
      </c>
      <c r="L39" t="s">
        <v>49</v>
      </c>
      <c r="M39" t="s">
        <v>118</v>
      </c>
    </row>
    <row r="40" spans="1:13" x14ac:dyDescent="0.2">
      <c r="A40">
        <f t="shared" si="0"/>
        <v>30</v>
      </c>
      <c r="B40" t="s">
        <v>125</v>
      </c>
      <c r="C40" t="s">
        <v>116</v>
      </c>
      <c r="D40">
        <v>1</v>
      </c>
      <c r="E40" t="s">
        <v>39</v>
      </c>
      <c r="F40" t="s">
        <v>46</v>
      </c>
      <c r="G40" t="s">
        <v>126</v>
      </c>
      <c r="K40">
        <v>0</v>
      </c>
      <c r="L40" t="s">
        <v>49</v>
      </c>
      <c r="M40" t="s">
        <v>118</v>
      </c>
    </row>
    <row r="41" spans="1:13" x14ac:dyDescent="0.2">
      <c r="A41">
        <f t="shared" si="0"/>
        <v>31</v>
      </c>
      <c r="B41" t="s">
        <v>127</v>
      </c>
      <c r="C41" t="s">
        <v>116</v>
      </c>
      <c r="D41">
        <v>1</v>
      </c>
      <c r="E41" t="s">
        <v>39</v>
      </c>
      <c r="F41" t="s">
        <v>46</v>
      </c>
      <c r="G41" t="s">
        <v>128</v>
      </c>
      <c r="K41">
        <v>0</v>
      </c>
      <c r="L41" t="s">
        <v>49</v>
      </c>
      <c r="M41" t="s">
        <v>118</v>
      </c>
    </row>
    <row r="42" spans="1:13" x14ac:dyDescent="0.2">
      <c r="A42">
        <f t="shared" si="0"/>
        <v>32</v>
      </c>
      <c r="B42" t="s">
        <v>129</v>
      </c>
      <c r="C42" t="s">
        <v>116</v>
      </c>
      <c r="D42">
        <v>1</v>
      </c>
      <c r="E42" t="s">
        <v>39</v>
      </c>
      <c r="F42" t="s">
        <v>46</v>
      </c>
      <c r="G42" t="s">
        <v>130</v>
      </c>
      <c r="K42">
        <v>0</v>
      </c>
      <c r="L42" t="s">
        <v>49</v>
      </c>
      <c r="M42" t="s">
        <v>118</v>
      </c>
    </row>
    <row r="43" spans="1:13" x14ac:dyDescent="0.2">
      <c r="A43">
        <f t="shared" si="0"/>
        <v>33</v>
      </c>
      <c r="B43" t="s">
        <v>131</v>
      </c>
      <c r="C43" t="s">
        <v>116</v>
      </c>
      <c r="D43">
        <v>1</v>
      </c>
      <c r="E43" t="s">
        <v>39</v>
      </c>
      <c r="F43" t="s">
        <v>46</v>
      </c>
      <c r="G43" t="s">
        <v>132</v>
      </c>
      <c r="K43">
        <v>0</v>
      </c>
      <c r="L43" t="s">
        <v>49</v>
      </c>
      <c r="M43" t="s">
        <v>118</v>
      </c>
    </row>
    <row r="44" spans="1:13" x14ac:dyDescent="0.2">
      <c r="A44">
        <f t="shared" si="0"/>
        <v>34</v>
      </c>
      <c r="B44" t="s">
        <v>133</v>
      </c>
      <c r="C44" t="s">
        <v>42</v>
      </c>
      <c r="D44">
        <v>1</v>
      </c>
      <c r="E44" t="s">
        <v>39</v>
      </c>
      <c r="F44" t="s">
        <v>46</v>
      </c>
      <c r="G44" t="s">
        <v>134</v>
      </c>
      <c r="I44" t="s">
        <v>135</v>
      </c>
      <c r="J44">
        <v>1</v>
      </c>
      <c r="L44" t="s">
        <v>49</v>
      </c>
      <c r="M44" t="s">
        <v>136</v>
      </c>
    </row>
    <row r="45" spans="1:13" x14ac:dyDescent="0.2">
      <c r="A45">
        <f t="shared" si="0"/>
        <v>35</v>
      </c>
      <c r="B45" t="s">
        <v>137</v>
      </c>
      <c r="C45" t="s">
        <v>42</v>
      </c>
      <c r="D45">
        <v>1</v>
      </c>
      <c r="E45" t="s">
        <v>39</v>
      </c>
      <c r="F45" t="s">
        <v>46</v>
      </c>
      <c r="G45" t="s">
        <v>138</v>
      </c>
      <c r="I45" t="s">
        <v>139</v>
      </c>
      <c r="J45">
        <v>1</v>
      </c>
      <c r="L45" t="s">
        <v>49</v>
      </c>
      <c r="M45" t="s">
        <v>140</v>
      </c>
    </row>
    <row r="46" spans="1:13" x14ac:dyDescent="0.2">
      <c r="A46">
        <f t="shared" si="0"/>
        <v>36</v>
      </c>
      <c r="B46" t="s">
        <v>141</v>
      </c>
      <c r="C46" t="s">
        <v>42</v>
      </c>
      <c r="D46">
        <v>500</v>
      </c>
      <c r="E46" t="s">
        <v>39</v>
      </c>
      <c r="F46" t="s">
        <v>46</v>
      </c>
      <c r="G46" t="s">
        <v>142</v>
      </c>
      <c r="L46" t="s">
        <v>49</v>
      </c>
      <c r="M46" t="s">
        <v>143</v>
      </c>
    </row>
    <row r="47" spans="1:13" x14ac:dyDescent="0.2">
      <c r="A47">
        <f t="shared" si="0"/>
        <v>37</v>
      </c>
      <c r="B47" t="s">
        <v>144</v>
      </c>
      <c r="C47" t="s">
        <v>145</v>
      </c>
      <c r="D47">
        <v>2</v>
      </c>
      <c r="E47" t="s">
        <v>23</v>
      </c>
      <c r="F47" t="s">
        <v>46</v>
      </c>
      <c r="G47" t="s">
        <v>146</v>
      </c>
      <c r="I47" t="s">
        <v>147</v>
      </c>
      <c r="J47">
        <v>1</v>
      </c>
      <c r="K47">
        <v>5</v>
      </c>
      <c r="L47" t="s">
        <v>49</v>
      </c>
      <c r="M47" t="s">
        <v>148</v>
      </c>
    </row>
    <row r="48" spans="1:13" x14ac:dyDescent="0.2">
      <c r="A48">
        <f t="shared" si="0"/>
        <v>38</v>
      </c>
      <c r="B48" t="s">
        <v>149</v>
      </c>
      <c r="C48" t="s">
        <v>42</v>
      </c>
      <c r="D48">
        <v>20</v>
      </c>
      <c r="E48" t="s">
        <v>23</v>
      </c>
      <c r="F48" t="s">
        <v>46</v>
      </c>
      <c r="G48" t="s">
        <v>150</v>
      </c>
      <c r="H48" t="s">
        <v>151</v>
      </c>
      <c r="I48" t="s">
        <v>152</v>
      </c>
      <c r="J48">
        <v>5</v>
      </c>
      <c r="L48" t="s">
        <v>49</v>
      </c>
      <c r="M48" t="s">
        <v>114</v>
      </c>
    </row>
    <row r="49" spans="1:13" x14ac:dyDescent="0.2">
      <c r="A49">
        <f t="shared" si="0"/>
        <v>39</v>
      </c>
      <c r="B49" t="s">
        <v>153</v>
      </c>
      <c r="C49" t="s">
        <v>42</v>
      </c>
      <c r="D49">
        <v>30</v>
      </c>
      <c r="E49" t="s">
        <v>23</v>
      </c>
      <c r="F49" t="s">
        <v>46</v>
      </c>
      <c r="G49" t="s">
        <v>154</v>
      </c>
      <c r="I49" t="s">
        <v>155</v>
      </c>
      <c r="J49">
        <v>8</v>
      </c>
      <c r="L49" t="s">
        <v>49</v>
      </c>
      <c r="M49" t="s">
        <v>156</v>
      </c>
    </row>
    <row r="50" spans="1:13" x14ac:dyDescent="0.2">
      <c r="A50">
        <f t="shared" si="0"/>
        <v>40</v>
      </c>
      <c r="B50" t="s">
        <v>157</v>
      </c>
      <c r="C50" t="s">
        <v>42</v>
      </c>
      <c r="D50">
        <v>30</v>
      </c>
      <c r="E50" t="s">
        <v>23</v>
      </c>
      <c r="F50" t="s">
        <v>46</v>
      </c>
      <c r="G50" t="s">
        <v>158</v>
      </c>
      <c r="I50" t="s">
        <v>159</v>
      </c>
      <c r="J50">
        <v>8</v>
      </c>
      <c r="L50" t="s">
        <v>49</v>
      </c>
      <c r="M50" t="s">
        <v>156</v>
      </c>
    </row>
    <row r="51" spans="1:13" x14ac:dyDescent="0.2">
      <c r="A51">
        <f t="shared" si="0"/>
        <v>41</v>
      </c>
      <c r="B51" t="s">
        <v>160</v>
      </c>
      <c r="C51" t="s">
        <v>42</v>
      </c>
      <c r="D51">
        <v>256</v>
      </c>
      <c r="E51" t="s">
        <v>23</v>
      </c>
      <c r="F51" t="s">
        <v>24</v>
      </c>
      <c r="G51" t="s">
        <v>161</v>
      </c>
      <c r="L51" t="s">
        <v>27</v>
      </c>
      <c r="M51" t="s">
        <v>33</v>
      </c>
    </row>
    <row r="52" spans="1:13" x14ac:dyDescent="0.2">
      <c r="A52">
        <f t="shared" si="0"/>
        <v>42</v>
      </c>
      <c r="B52" t="s">
        <v>162</v>
      </c>
      <c r="C52" t="s">
        <v>58</v>
      </c>
      <c r="D52">
        <v>8</v>
      </c>
      <c r="E52" t="s">
        <v>39</v>
      </c>
      <c r="F52" t="s">
        <v>24</v>
      </c>
      <c r="G52" t="s">
        <v>163</v>
      </c>
      <c r="I52" t="s">
        <v>164</v>
      </c>
      <c r="L52" t="s">
        <v>27</v>
      </c>
      <c r="M52" t="s">
        <v>33</v>
      </c>
    </row>
    <row r="53" spans="1:13" x14ac:dyDescent="0.2">
      <c r="A53">
        <f t="shared" si="0"/>
        <v>43</v>
      </c>
      <c r="B53" t="s">
        <v>165</v>
      </c>
      <c r="C53" t="s">
        <v>116</v>
      </c>
      <c r="D53">
        <v>1</v>
      </c>
      <c r="E53" t="s">
        <v>23</v>
      </c>
      <c r="F53" t="s">
        <v>46</v>
      </c>
      <c r="G53" t="s">
        <v>166</v>
      </c>
      <c r="J53">
        <v>1</v>
      </c>
      <c r="K53">
        <v>0</v>
      </c>
      <c r="L53" t="s">
        <v>49</v>
      </c>
      <c r="M53" t="s">
        <v>167</v>
      </c>
    </row>
    <row r="54" spans="1:13" x14ac:dyDescent="0.2">
      <c r="A54">
        <f t="shared" si="0"/>
        <v>44</v>
      </c>
      <c r="B54" t="s">
        <v>168</v>
      </c>
      <c r="C54" t="s">
        <v>30</v>
      </c>
      <c r="D54">
        <v>14</v>
      </c>
      <c r="E54" t="s">
        <v>23</v>
      </c>
      <c r="F54" t="s">
        <v>24</v>
      </c>
      <c r="G54" t="s">
        <v>169</v>
      </c>
      <c r="I54" t="s">
        <v>32</v>
      </c>
      <c r="L54" t="s">
        <v>27</v>
      </c>
      <c r="M54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Rios, Rogelio</cp:lastModifiedBy>
  <cp:revision>0</cp:revision>
  <dcterms:created xsi:type="dcterms:W3CDTF">2026-09-28T01:10:27Z</dcterms:created>
  <dcterms:modified xsi:type="dcterms:W3CDTF">2026-09-28T01:14:07Z</dcterms:modified>
  <dc:language>en-US</dc:language>
</cp:coreProperties>
</file>